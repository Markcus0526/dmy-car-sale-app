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 activeTab="1"/>
  </bookViews>
  <sheets>
    <sheet name="在途" sheetId="1" r:id="rId1"/>
    <sheet name="未提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7" i="2" l="1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<sst xmlns="http://schemas.openxmlformats.org/spreadsheetml/2006/main" count="585" uniqueCount="183">
  <si>
    <t>客户代码</t>
  </si>
  <si>
    <t>客户名称</t>
  </si>
  <si>
    <t>原始提单号</t>
  </si>
  <si>
    <t>开单日期</t>
  </si>
  <si>
    <t>入库日期</t>
  </si>
  <si>
    <t>出库日期</t>
  </si>
  <si>
    <t>VIN码</t>
  </si>
  <si>
    <t>发动机号</t>
  </si>
  <si>
    <t>车辆代码</t>
  </si>
  <si>
    <t>车辆名称</t>
  </si>
  <si>
    <t>颜色代码</t>
  </si>
  <si>
    <t>颜色名称</t>
  </si>
  <si>
    <t>车型年</t>
  </si>
  <si>
    <t>版本号</t>
  </si>
  <si>
    <t>内饰</t>
  </si>
  <si>
    <t>内饰名</t>
  </si>
  <si>
    <t>选装包</t>
  </si>
  <si>
    <t>状态名称</t>
  </si>
  <si>
    <t>属性名称</t>
  </si>
  <si>
    <t>自制件</t>
  </si>
  <si>
    <t>存放地代码</t>
  </si>
  <si>
    <t>存放地点</t>
  </si>
  <si>
    <t>辽宁众志诚汽车销售服务有限公司</t>
  </si>
  <si>
    <t>13B0625824</t>
  </si>
  <si>
    <t>LSVAA4BRXDN022064</t>
  </si>
  <si>
    <t>桑塔纳NF1.4手动</t>
  </si>
  <si>
    <t>MY</t>
  </si>
  <si>
    <t>如意黑</t>
  </si>
  <si>
    <t>JM</t>
  </si>
  <si>
    <t>黑色</t>
  </si>
  <si>
    <t>1T0</t>
  </si>
  <si>
    <t>正常车在途</t>
  </si>
  <si>
    <t>提单</t>
  </si>
  <si>
    <t>13B0625823</t>
  </si>
  <si>
    <t>LSVAA4BRXDN022095</t>
  </si>
  <si>
    <t>13B0625877</t>
  </si>
  <si>
    <t>LSVAA4BR5DN021985</t>
  </si>
  <si>
    <t>13B0625879</t>
  </si>
  <si>
    <t>LSVAB2BRXDN022003</t>
  </si>
  <si>
    <t>桑塔纳NF1.6手动</t>
  </si>
  <si>
    <t>13B0625828</t>
  </si>
  <si>
    <t>LSVAB2BR2DN022013</t>
  </si>
  <si>
    <t>13B0625829</t>
  </si>
  <si>
    <t>LSVAB2BR2DN022058</t>
  </si>
  <si>
    <t>13B0625827</t>
  </si>
  <si>
    <t>LSVAB2BR2DN022061</t>
  </si>
  <si>
    <t>0A12307132</t>
  </si>
  <si>
    <t>LSVAB6BR1CN010439</t>
  </si>
  <si>
    <t>MZ</t>
  </si>
  <si>
    <t>平安白</t>
  </si>
  <si>
    <t>WT1</t>
  </si>
  <si>
    <t>13B0625800</t>
  </si>
  <si>
    <t>LSVAC2BR5DN022021</t>
  </si>
  <si>
    <t>桑塔纳NF1.6自动</t>
  </si>
  <si>
    <t>13B0625799</t>
  </si>
  <si>
    <t>LSVAC2BR9DN022085</t>
  </si>
  <si>
    <t>13B0625880</t>
  </si>
  <si>
    <t>LSVAC6BRXDN021857</t>
  </si>
  <si>
    <t>13B0625840</t>
  </si>
  <si>
    <t>LSVAL4180D2042702</t>
  </si>
  <si>
    <t>LAVIDA 1.6MT TL</t>
  </si>
  <si>
    <t>CY</t>
  </si>
  <si>
    <t>深黑</t>
  </si>
  <si>
    <t>RV</t>
  </si>
  <si>
    <t>米色</t>
  </si>
  <si>
    <t>PKK</t>
  </si>
  <si>
    <t>13B0625847</t>
  </si>
  <si>
    <t>LSVAL4181D2041204</t>
  </si>
  <si>
    <t>KY</t>
  </si>
  <si>
    <t>睿银</t>
  </si>
  <si>
    <t>13B0625849</t>
  </si>
  <si>
    <t>LSVAL4181D2041817</t>
  </si>
  <si>
    <t>13B0625853</t>
  </si>
  <si>
    <t>LSVAL4181D2041929</t>
  </si>
  <si>
    <t>13B0625858</t>
  </si>
  <si>
    <t>LSVAL4181D2042756</t>
  </si>
  <si>
    <t>13B0625855</t>
  </si>
  <si>
    <t>LSVAL4182D2041924</t>
  </si>
  <si>
    <t>13B0625852</t>
  </si>
  <si>
    <t>LSVAL4184D2041925</t>
  </si>
  <si>
    <t>13B0625850</t>
  </si>
  <si>
    <t>LSVAL4186D2041800</t>
  </si>
  <si>
    <t>13B0625851</t>
  </si>
  <si>
    <t>LSVAL4188D2041765</t>
  </si>
  <si>
    <t>13B0625854</t>
  </si>
  <si>
    <t>LSVAL4188D2041927</t>
  </si>
  <si>
    <t>13B0625856</t>
  </si>
  <si>
    <t>LSVAL4188D2041930</t>
  </si>
  <si>
    <t>13B0625857</t>
  </si>
  <si>
    <t>LSVAL4189D2042648</t>
  </si>
  <si>
    <t>13B0625876</t>
  </si>
  <si>
    <t>LSVCH6A40DN038134</t>
  </si>
  <si>
    <t>T77211</t>
  </si>
  <si>
    <t>新帕1.8T DSG尊荣</t>
  </si>
  <si>
    <t>LV</t>
  </si>
  <si>
    <t>金黑</t>
  </si>
  <si>
    <t>WCX7MS7TK</t>
  </si>
  <si>
    <t>13B0625819</t>
  </si>
  <si>
    <t>LSVCH6A41DN037106</t>
  </si>
  <si>
    <t>T75915</t>
  </si>
  <si>
    <t>新帕1.8TDSG御尊</t>
  </si>
  <si>
    <t>13B0625820</t>
  </si>
  <si>
    <t>LSVCH6A46DN036713</t>
  </si>
  <si>
    <t>T73796</t>
  </si>
  <si>
    <t>13B0625781</t>
  </si>
  <si>
    <t>LSVCH6A46DN037456</t>
  </si>
  <si>
    <t>T75819</t>
  </si>
  <si>
    <t>LY</t>
  </si>
  <si>
    <t>钛金</t>
  </si>
  <si>
    <t>7MS7TK</t>
  </si>
  <si>
    <t>13B0625881</t>
  </si>
  <si>
    <t>LSVCJ6A40DN038087</t>
  </si>
  <si>
    <t>新帕2.0TDSG至尊</t>
  </si>
  <si>
    <t>WCV7MS</t>
  </si>
  <si>
    <t>13B0625864</t>
  </si>
  <si>
    <t>LSVFG66R0D2015779</t>
  </si>
  <si>
    <t>POLO GTI 1.4TSI DSG</t>
  </si>
  <si>
    <t>LM</t>
  </si>
  <si>
    <t>风格红</t>
  </si>
  <si>
    <t>XE</t>
  </si>
  <si>
    <t>GTI黑</t>
  </si>
  <si>
    <t>13B0625862</t>
  </si>
  <si>
    <t>LSVNC2185DN028346</t>
  </si>
  <si>
    <t>新朗逸1.4T MT CL</t>
  </si>
  <si>
    <t>MQ</t>
  </si>
  <si>
    <t>雅致白</t>
  </si>
  <si>
    <t>BY</t>
  </si>
  <si>
    <t>5TT</t>
  </si>
  <si>
    <t>13B0625798</t>
  </si>
  <si>
    <t>LSVNM218XDN028534</t>
  </si>
  <si>
    <t>新朗逸1.6L MT CL</t>
  </si>
  <si>
    <t>13B0625782</t>
  </si>
  <si>
    <t>LSVNM4188DN028382</t>
  </si>
  <si>
    <t>新朗逸1.6L MT TL</t>
  </si>
  <si>
    <t>13B0483944</t>
  </si>
  <si>
    <t>LSVUM65N9D2013432</t>
  </si>
  <si>
    <t>M72050</t>
  </si>
  <si>
    <t>TIGUAN 1.8T AT菁皮</t>
  </si>
  <si>
    <t>AC</t>
  </si>
  <si>
    <t>反射银</t>
  </si>
  <si>
    <t>TW</t>
  </si>
  <si>
    <t>7MS</t>
  </si>
  <si>
    <t>未提</t>
  </si>
  <si>
    <t>13B0625859</t>
  </si>
  <si>
    <t>LSVAL4183D2042421</t>
  </si>
  <si>
    <t>13B0625838</t>
  </si>
  <si>
    <t>LSVAL4183D2042645</t>
  </si>
  <si>
    <t>13B0625860</t>
  </si>
  <si>
    <t>LSVAL4184D2042587</t>
  </si>
  <si>
    <t>13B0625832</t>
  </si>
  <si>
    <t>LSVAL4185D2042582</t>
  </si>
  <si>
    <t>13B0625810</t>
  </si>
  <si>
    <t>LSVAL4186D2047984</t>
  </si>
  <si>
    <t>13B0625814</t>
  </si>
  <si>
    <t>LSVAL4186D2048164</t>
  </si>
  <si>
    <t>13B0625839</t>
  </si>
  <si>
    <t>LSVAL4187D2042647</t>
  </si>
  <si>
    <t>13B0625843</t>
  </si>
  <si>
    <t>LSVAL4188D2041409</t>
  </si>
  <si>
    <t>13B0625836</t>
  </si>
  <si>
    <t>LSVAL4188D2042737</t>
  </si>
  <si>
    <t>13B0625812</t>
  </si>
  <si>
    <t>LSVAL4188D2048036</t>
  </si>
  <si>
    <t>13B0625846</t>
  </si>
  <si>
    <t>LSVAL4189D2040785</t>
  </si>
  <si>
    <t>13B0625835</t>
  </si>
  <si>
    <t>LSVAL4189D2042603</t>
  </si>
  <si>
    <t>13B0625834</t>
  </si>
  <si>
    <t>LSVAL4189D2042746</t>
  </si>
  <si>
    <t>0A12005914</t>
  </si>
  <si>
    <t>LSVA10335CN547244</t>
  </si>
  <si>
    <t>普桑1.8出租E3</t>
  </si>
  <si>
    <t>糖果白</t>
  </si>
  <si>
    <t>WW</t>
  </si>
  <si>
    <t>PVC</t>
  </si>
  <si>
    <t>1AG</t>
  </si>
  <si>
    <t>沈阳市苏家屯区会展路9号</t>
  </si>
  <si>
    <t>13B0625883</t>
  </si>
  <si>
    <t>LSVCH6A40DN037548</t>
  </si>
  <si>
    <t>T75754</t>
  </si>
  <si>
    <t>13B0627110</t>
  </si>
  <si>
    <t>LSVCH6A41DN037459</t>
  </si>
  <si>
    <t>T75813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</si>
</sst>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천리마체"/>
      <family val="2"/>
      <charset val="134"/>
      <scheme val="minor"/>
    </font>
    <font>
      <sz val="9"/>
      <name val="천리마체"/>
      <family val="2"/>
      <charset val="134"/>
      <scheme val="minor"/>
    </font>
    <font>
      <sz val="12"/>
      <name val="천리마체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selection activeCell="E15" sqref="E15"/>
    </sheetView>
  </sheetViews>
  <sheetFormatPr defaultRowHeight="14.25"/>
  <cols>
    <col min="1" max="1" width="9.42578125" customWidth="1"/>
    <col min="2" max="2" width="18.42578125" customWidth="1"/>
    <col min="3" max="6" width="9.42578125" customWidth="1"/>
    <col min="7" max="7" width="19.42578125" customWidth="1"/>
    <col min="8" max="9" width="9.42578125" customWidth="1"/>
    <col min="10" max="10" width="20.42578125" customWidth="1"/>
    <col min="11" max="12" width="9.42578125" customWidth="1"/>
    <col min="13" max="13" width="11.5703125" customWidth="1"/>
    <col min="14" max="14" width="9.42578125" customWidth="1"/>
    <col min="15" max="15" width="7.42578125" customWidth="1"/>
    <col min="16" max="16" width="11.140625" customWidth="1"/>
    <col min="17" max="17" width="40" customWidth="1"/>
    <col min="18" max="18" width="11.5703125" customWidth="1"/>
    <col min="19" max="19" width="9.42578125" customWidth="1"/>
    <col min="20" max="20" width="7.42578125" customWidth="1"/>
    <col min="21" max="21" width="11.140625" customWidth="1"/>
    <col min="22" max="22" width="40" customWidth="1"/>
  </cols>
  <sheetData>
    <row r="1" spans="1:22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customHeight="1" thickTop="1">
      <c r="A2" s="2">
        <v>2110813</v>
      </c>
      <c r="B2" s="2" t="s">
        <v>22</v>
      </c>
      <c r="C2" s="2" t="s">
        <v>23</v>
      </c>
      <c r="D2" s="2">
        <v>20130221</v>
      </c>
      <c r="E2" s="2">
        <v>0</v>
      </c>
      <c r="F2" s="2">
        <v>0</v>
      </c>
      <c r="G2" s="2" t="s">
        <v>24</v>
      </c>
      <c r="H2" s="2">
        <v>7235</v>
      </c>
      <c r="I2" s="2" t="str">
        <f>"BR22C4"</f>
        <v>BR22C4</v>
      </c>
      <c r="J2" s="2" t="s">
        <v>25</v>
      </c>
      <c r="K2" s="2" t="s">
        <v>26</v>
      </c>
      <c r="L2" s="2" t="s">
        <v>27</v>
      </c>
      <c r="M2" s="2">
        <v>2013</v>
      </c>
      <c r="N2" s="2">
        <v>0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/>
      <c r="U2" s="2"/>
    </row>
    <row r="3" spans="1:22" ht="16.5" customHeight="1">
      <c r="A3" s="2">
        <v>2110813</v>
      </c>
      <c r="B3" s="2" t="s">
        <v>22</v>
      </c>
      <c r="C3" s="2" t="s">
        <v>33</v>
      </c>
      <c r="D3" s="2">
        <v>20130221</v>
      </c>
      <c r="E3" s="2">
        <v>0</v>
      </c>
      <c r="F3" s="2">
        <v>0</v>
      </c>
      <c r="G3" s="2" t="s">
        <v>34</v>
      </c>
      <c r="H3" s="2">
        <v>7586</v>
      </c>
      <c r="I3" s="2" t="str">
        <f>"BR22C4"</f>
        <v>BR22C4</v>
      </c>
      <c r="J3" s="2" t="s">
        <v>25</v>
      </c>
      <c r="K3" s="2" t="s">
        <v>26</v>
      </c>
      <c r="L3" s="2" t="s">
        <v>27</v>
      </c>
      <c r="M3" s="2">
        <v>2013</v>
      </c>
      <c r="N3" s="2">
        <v>0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/>
      <c r="U3" s="2"/>
    </row>
    <row r="4" spans="1:22" ht="16.5" customHeight="1">
      <c r="A4" s="2">
        <v>2110813</v>
      </c>
      <c r="B4" s="2" t="s">
        <v>22</v>
      </c>
      <c r="C4" s="2" t="s">
        <v>35</v>
      </c>
      <c r="D4" s="2">
        <v>20130221</v>
      </c>
      <c r="E4" s="2">
        <v>0</v>
      </c>
      <c r="F4" s="2">
        <v>0</v>
      </c>
      <c r="G4" s="2" t="s">
        <v>36</v>
      </c>
      <c r="H4" s="2">
        <v>7601</v>
      </c>
      <c r="I4" s="2" t="str">
        <f>"BR22C4"</f>
        <v>BR22C4</v>
      </c>
      <c r="J4" s="2" t="s">
        <v>25</v>
      </c>
      <c r="K4" s="2" t="s">
        <v>26</v>
      </c>
      <c r="L4" s="2" t="s">
        <v>27</v>
      </c>
      <c r="M4" s="2">
        <v>2013</v>
      </c>
      <c r="N4" s="2">
        <v>0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  <c r="T4" s="2"/>
      <c r="U4" s="2"/>
    </row>
    <row r="5" spans="1:22" ht="16.5" customHeight="1">
      <c r="A5" s="2">
        <v>2110813</v>
      </c>
      <c r="B5" s="2" t="s">
        <v>22</v>
      </c>
      <c r="C5" s="2" t="s">
        <v>37</v>
      </c>
      <c r="D5" s="2">
        <v>20130221</v>
      </c>
      <c r="E5" s="2">
        <v>0</v>
      </c>
      <c r="F5" s="2">
        <v>0</v>
      </c>
      <c r="G5" s="2" t="s">
        <v>38</v>
      </c>
      <c r="H5" s="2">
        <v>25829</v>
      </c>
      <c r="I5" s="2" t="str">
        <f>"BR23J4"</f>
        <v>BR23J4</v>
      </c>
      <c r="J5" s="2" t="s">
        <v>39</v>
      </c>
      <c r="K5" s="2" t="s">
        <v>26</v>
      </c>
      <c r="L5" s="2" t="s">
        <v>27</v>
      </c>
      <c r="M5" s="2">
        <v>2013</v>
      </c>
      <c r="N5" s="2">
        <v>0</v>
      </c>
      <c r="O5" s="2" t="s">
        <v>28</v>
      </c>
      <c r="P5" s="2" t="s">
        <v>29</v>
      </c>
      <c r="Q5" s="2" t="s">
        <v>30</v>
      </c>
      <c r="R5" s="2" t="s">
        <v>31</v>
      </c>
      <c r="S5" s="2" t="s">
        <v>32</v>
      </c>
      <c r="T5" s="2"/>
      <c r="U5" s="2"/>
    </row>
    <row r="6" spans="1:22" ht="16.5" customHeight="1">
      <c r="A6" s="2">
        <v>2110813</v>
      </c>
      <c r="B6" s="2" t="s">
        <v>22</v>
      </c>
      <c r="C6" s="2" t="s">
        <v>40</v>
      </c>
      <c r="D6" s="2">
        <v>20130221</v>
      </c>
      <c r="E6" s="2">
        <v>0</v>
      </c>
      <c r="F6" s="2">
        <v>0</v>
      </c>
      <c r="G6" s="2" t="s">
        <v>41</v>
      </c>
      <c r="H6" s="2">
        <v>25833</v>
      </c>
      <c r="I6" s="2" t="str">
        <f>"BR23J4"</f>
        <v>BR23J4</v>
      </c>
      <c r="J6" s="2" t="s">
        <v>39</v>
      </c>
      <c r="K6" s="2" t="s">
        <v>26</v>
      </c>
      <c r="L6" s="2" t="s">
        <v>27</v>
      </c>
      <c r="M6" s="2">
        <v>2013</v>
      </c>
      <c r="N6" s="2">
        <v>0</v>
      </c>
      <c r="O6" s="2" t="s">
        <v>28</v>
      </c>
      <c r="P6" s="2" t="s">
        <v>29</v>
      </c>
      <c r="Q6" s="2" t="s">
        <v>30</v>
      </c>
      <c r="R6" s="2" t="s">
        <v>31</v>
      </c>
      <c r="S6" s="2" t="s">
        <v>32</v>
      </c>
      <c r="T6" s="2"/>
      <c r="U6" s="2"/>
    </row>
    <row r="7" spans="1:22" ht="16.5" customHeight="1">
      <c r="A7" s="2">
        <v>2110813</v>
      </c>
      <c r="B7" s="2" t="s">
        <v>22</v>
      </c>
      <c r="C7" s="2" t="s">
        <v>42</v>
      </c>
      <c r="D7" s="2">
        <v>20130221</v>
      </c>
      <c r="E7" s="2">
        <v>0</v>
      </c>
      <c r="F7" s="2">
        <v>0</v>
      </c>
      <c r="G7" s="2" t="s">
        <v>43</v>
      </c>
      <c r="H7" s="2">
        <v>25225</v>
      </c>
      <c r="I7" s="2" t="str">
        <f>"BR23J4"</f>
        <v>BR23J4</v>
      </c>
      <c r="J7" s="2" t="s">
        <v>39</v>
      </c>
      <c r="K7" s="2" t="s">
        <v>26</v>
      </c>
      <c r="L7" s="2" t="s">
        <v>27</v>
      </c>
      <c r="M7" s="2">
        <v>2013</v>
      </c>
      <c r="N7" s="2">
        <v>0</v>
      </c>
      <c r="O7" s="2" t="s">
        <v>28</v>
      </c>
      <c r="P7" s="2" t="s">
        <v>29</v>
      </c>
      <c r="Q7" s="2" t="s">
        <v>30</v>
      </c>
      <c r="R7" s="2" t="s">
        <v>31</v>
      </c>
      <c r="S7" s="2" t="s">
        <v>32</v>
      </c>
      <c r="T7" s="2"/>
      <c r="U7" s="2"/>
    </row>
    <row r="8" spans="1:22" ht="16.5" customHeight="1">
      <c r="A8" s="2">
        <v>2110813</v>
      </c>
      <c r="B8" s="2" t="s">
        <v>22</v>
      </c>
      <c r="C8" s="2" t="s">
        <v>44</v>
      </c>
      <c r="D8" s="2">
        <v>20130221</v>
      </c>
      <c r="E8" s="2">
        <v>0</v>
      </c>
      <c r="F8" s="2">
        <v>0</v>
      </c>
      <c r="G8" s="2" t="s">
        <v>45</v>
      </c>
      <c r="H8" s="2">
        <v>25221</v>
      </c>
      <c r="I8" s="2" t="str">
        <f>"BR23J4"</f>
        <v>BR23J4</v>
      </c>
      <c r="J8" s="2" t="s">
        <v>39</v>
      </c>
      <c r="K8" s="2" t="s">
        <v>26</v>
      </c>
      <c r="L8" s="2" t="s">
        <v>27</v>
      </c>
      <c r="M8" s="2">
        <v>2013</v>
      </c>
      <c r="N8" s="2">
        <v>0</v>
      </c>
      <c r="O8" s="2" t="s">
        <v>28</v>
      </c>
      <c r="P8" s="2" t="s">
        <v>29</v>
      </c>
      <c r="Q8" s="2" t="s">
        <v>30</v>
      </c>
      <c r="R8" s="2" t="s">
        <v>31</v>
      </c>
      <c r="S8" s="2" t="s">
        <v>32</v>
      </c>
      <c r="T8" s="2"/>
      <c r="U8" s="2"/>
    </row>
    <row r="9" spans="1:22" ht="16.5" customHeight="1">
      <c r="A9" s="2">
        <v>2110813</v>
      </c>
      <c r="B9" s="2" t="s">
        <v>22</v>
      </c>
      <c r="C9" s="2" t="s">
        <v>46</v>
      </c>
      <c r="D9" s="2">
        <v>20121116</v>
      </c>
      <c r="E9" s="2">
        <v>0</v>
      </c>
      <c r="F9" s="2">
        <v>0</v>
      </c>
      <c r="G9" s="2" t="s">
        <v>47</v>
      </c>
      <c r="H9" s="2">
        <v>1183</v>
      </c>
      <c r="I9" s="2" t="str">
        <f>"BR24J4"</f>
        <v>BR24J4</v>
      </c>
      <c r="J9" s="2" t="s">
        <v>39</v>
      </c>
      <c r="K9" s="2" t="s">
        <v>48</v>
      </c>
      <c r="L9" s="2" t="s">
        <v>49</v>
      </c>
      <c r="M9" s="2">
        <v>2013</v>
      </c>
      <c r="N9" s="2">
        <v>0</v>
      </c>
      <c r="O9" s="2" t="s">
        <v>28</v>
      </c>
      <c r="P9" s="2" t="s">
        <v>29</v>
      </c>
      <c r="Q9" s="2" t="s">
        <v>50</v>
      </c>
      <c r="R9" s="2" t="s">
        <v>31</v>
      </c>
      <c r="S9" s="2" t="s">
        <v>32</v>
      </c>
      <c r="T9" s="2"/>
      <c r="U9" s="2"/>
    </row>
    <row r="10" spans="1:22" ht="16.5" customHeight="1">
      <c r="A10" s="2">
        <v>2110813</v>
      </c>
      <c r="B10" s="2" t="s">
        <v>22</v>
      </c>
      <c r="C10" s="2" t="s">
        <v>51</v>
      </c>
      <c r="D10" s="2">
        <v>20130221</v>
      </c>
      <c r="E10" s="2">
        <v>0</v>
      </c>
      <c r="F10" s="2">
        <v>0</v>
      </c>
      <c r="G10" s="2" t="s">
        <v>52</v>
      </c>
      <c r="H10" s="2">
        <v>25531</v>
      </c>
      <c r="I10" s="2" t="str">
        <f>"BR23J3"</f>
        <v>BR23J3</v>
      </c>
      <c r="J10" s="2" t="s">
        <v>53</v>
      </c>
      <c r="K10" s="2" t="s">
        <v>48</v>
      </c>
      <c r="L10" s="2" t="s">
        <v>49</v>
      </c>
      <c r="M10" s="2">
        <v>2013</v>
      </c>
      <c r="N10" s="2">
        <v>0</v>
      </c>
      <c r="O10" s="2" t="s">
        <v>28</v>
      </c>
      <c r="P10" s="2" t="s">
        <v>29</v>
      </c>
      <c r="Q10" s="2" t="s">
        <v>30</v>
      </c>
      <c r="R10" s="2" t="s">
        <v>31</v>
      </c>
      <c r="S10" s="2" t="s">
        <v>32</v>
      </c>
      <c r="T10" s="2"/>
      <c r="U10" s="2"/>
    </row>
    <row r="11" spans="1:22" ht="16.5" customHeight="1">
      <c r="A11" s="2">
        <v>2110813</v>
      </c>
      <c r="B11" s="2" t="s">
        <v>22</v>
      </c>
      <c r="C11" s="2" t="s">
        <v>54</v>
      </c>
      <c r="D11" s="2">
        <v>20130221</v>
      </c>
      <c r="E11" s="2">
        <v>0</v>
      </c>
      <c r="F11" s="2">
        <v>0</v>
      </c>
      <c r="G11" s="2" t="s">
        <v>55</v>
      </c>
      <c r="H11" s="2">
        <v>25609</v>
      </c>
      <c r="I11" s="2" t="str">
        <f>"BR23J3"</f>
        <v>BR23J3</v>
      </c>
      <c r="J11" s="2" t="s">
        <v>53</v>
      </c>
      <c r="K11" s="2" t="s">
        <v>48</v>
      </c>
      <c r="L11" s="2" t="s">
        <v>49</v>
      </c>
      <c r="M11" s="2">
        <v>2013</v>
      </c>
      <c r="N11" s="2">
        <v>0</v>
      </c>
      <c r="O11" s="2" t="s">
        <v>28</v>
      </c>
      <c r="P11" s="2" t="s">
        <v>29</v>
      </c>
      <c r="Q11" s="2" t="s">
        <v>30</v>
      </c>
      <c r="R11" s="2" t="s">
        <v>31</v>
      </c>
      <c r="S11" s="2" t="s">
        <v>32</v>
      </c>
      <c r="T11" s="2"/>
      <c r="U11" s="2"/>
    </row>
    <row r="12" spans="1:22" ht="16.5" customHeight="1">
      <c r="A12" s="2">
        <v>2110813</v>
      </c>
      <c r="B12" s="2" t="s">
        <v>22</v>
      </c>
      <c r="C12" s="2" t="s">
        <v>56</v>
      </c>
      <c r="D12" s="2">
        <v>20130221</v>
      </c>
      <c r="E12" s="2">
        <v>0</v>
      </c>
      <c r="F12" s="2">
        <v>0</v>
      </c>
      <c r="G12" s="2" t="s">
        <v>57</v>
      </c>
      <c r="H12" s="2">
        <v>13678</v>
      </c>
      <c r="I12" s="2" t="str">
        <f>"BR24J3"</f>
        <v>BR24J3</v>
      </c>
      <c r="J12" s="2" t="s">
        <v>53</v>
      </c>
      <c r="K12" s="2" t="s">
        <v>26</v>
      </c>
      <c r="L12" s="2" t="s">
        <v>27</v>
      </c>
      <c r="M12" s="2">
        <v>2013</v>
      </c>
      <c r="N12" s="2">
        <v>0</v>
      </c>
      <c r="O12" s="2" t="s">
        <v>28</v>
      </c>
      <c r="P12" s="2" t="s">
        <v>29</v>
      </c>
      <c r="Q12" s="2" t="s">
        <v>30</v>
      </c>
      <c r="R12" s="2" t="s">
        <v>31</v>
      </c>
      <c r="S12" s="2" t="s">
        <v>32</v>
      </c>
      <c r="T12" s="2"/>
      <c r="U12" s="2"/>
    </row>
    <row r="13" spans="1:22" ht="16.5" customHeight="1">
      <c r="A13" s="2">
        <v>2110813</v>
      </c>
      <c r="B13" s="2" t="s">
        <v>22</v>
      </c>
      <c r="C13" s="2" t="s">
        <v>58</v>
      </c>
      <c r="D13" s="2">
        <v>20130221</v>
      </c>
      <c r="E13" s="2">
        <v>0</v>
      </c>
      <c r="F13" s="2">
        <v>0</v>
      </c>
      <c r="G13" s="2" t="s">
        <v>59</v>
      </c>
      <c r="H13" s="2">
        <v>381057</v>
      </c>
      <c r="I13" s="2" t="str">
        <f t="shared" ref="I13:I24" si="0">"181CN2"</f>
        <v>181CN2</v>
      </c>
      <c r="J13" s="2" t="s">
        <v>60</v>
      </c>
      <c r="K13" s="2" t="s">
        <v>61</v>
      </c>
      <c r="L13" s="2" t="s">
        <v>62</v>
      </c>
      <c r="M13" s="2">
        <v>2013</v>
      </c>
      <c r="N13" s="2">
        <v>0</v>
      </c>
      <c r="O13" s="2" t="s">
        <v>63</v>
      </c>
      <c r="P13" s="2" t="s">
        <v>64</v>
      </c>
      <c r="Q13" s="2" t="s">
        <v>65</v>
      </c>
      <c r="R13" s="2" t="s">
        <v>31</v>
      </c>
      <c r="S13" s="2" t="s">
        <v>32</v>
      </c>
      <c r="T13" s="2"/>
      <c r="U13" s="2"/>
    </row>
    <row r="14" spans="1:22" ht="16.5" customHeight="1">
      <c r="A14" s="2">
        <v>2110813</v>
      </c>
      <c r="B14" s="2" t="s">
        <v>22</v>
      </c>
      <c r="C14" s="2" t="s">
        <v>66</v>
      </c>
      <c r="D14" s="2">
        <v>20130221</v>
      </c>
      <c r="E14" s="2">
        <v>0</v>
      </c>
      <c r="F14" s="2">
        <v>0</v>
      </c>
      <c r="G14" s="2" t="s">
        <v>67</v>
      </c>
      <c r="H14" s="2">
        <v>376501</v>
      </c>
      <c r="I14" s="2" t="str">
        <f t="shared" si="0"/>
        <v>181CN2</v>
      </c>
      <c r="J14" s="2" t="s">
        <v>60</v>
      </c>
      <c r="K14" s="2" t="s">
        <v>68</v>
      </c>
      <c r="L14" s="2" t="s">
        <v>69</v>
      </c>
      <c r="M14" s="2">
        <v>2013</v>
      </c>
      <c r="N14" s="2">
        <v>0</v>
      </c>
      <c r="O14" s="2" t="s">
        <v>63</v>
      </c>
      <c r="P14" s="2" t="s">
        <v>64</v>
      </c>
      <c r="Q14" s="2" t="s">
        <v>65</v>
      </c>
      <c r="R14" s="2" t="s">
        <v>31</v>
      </c>
      <c r="S14" s="2" t="s">
        <v>32</v>
      </c>
      <c r="T14" s="2"/>
      <c r="U14" s="2"/>
    </row>
    <row r="15" spans="1:22" ht="16.5" customHeight="1">
      <c r="A15" s="2">
        <v>2110813</v>
      </c>
      <c r="B15" s="2" t="s">
        <v>22</v>
      </c>
      <c r="C15" s="2" t="s">
        <v>70</v>
      </c>
      <c r="D15" s="2">
        <v>20130221</v>
      </c>
      <c r="E15" s="2">
        <v>0</v>
      </c>
      <c r="F15" s="2">
        <v>0</v>
      </c>
      <c r="G15" s="2" t="s">
        <v>71</v>
      </c>
      <c r="H15" s="2">
        <v>379607</v>
      </c>
      <c r="I15" s="2" t="str">
        <f t="shared" si="0"/>
        <v>181CN2</v>
      </c>
      <c r="J15" s="2" t="s">
        <v>60</v>
      </c>
      <c r="K15" s="2" t="s">
        <v>68</v>
      </c>
      <c r="L15" s="2" t="s">
        <v>69</v>
      </c>
      <c r="M15" s="2">
        <v>2013</v>
      </c>
      <c r="N15" s="2">
        <v>0</v>
      </c>
      <c r="O15" s="2" t="s">
        <v>63</v>
      </c>
      <c r="P15" s="2" t="s">
        <v>64</v>
      </c>
      <c r="Q15" s="2" t="s">
        <v>65</v>
      </c>
      <c r="R15" s="2" t="s">
        <v>31</v>
      </c>
      <c r="S15" s="2" t="s">
        <v>32</v>
      </c>
      <c r="T15" s="2"/>
      <c r="U15" s="2"/>
    </row>
    <row r="16" spans="1:22" ht="16.5" customHeight="1">
      <c r="A16" s="2">
        <v>2110813</v>
      </c>
      <c r="B16" s="2" t="s">
        <v>22</v>
      </c>
      <c r="C16" s="2" t="s">
        <v>72</v>
      </c>
      <c r="D16" s="2">
        <v>20130221</v>
      </c>
      <c r="E16" s="2"/>
      <c r="F16" s="2">
        <v>0</v>
      </c>
      <c r="G16" s="2" t="s">
        <v>73</v>
      </c>
      <c r="H16" s="2">
        <v>378303</v>
      </c>
      <c r="I16" s="2" t="str">
        <f t="shared" si="0"/>
        <v>181CN2</v>
      </c>
      <c r="J16" s="2" t="s">
        <v>60</v>
      </c>
      <c r="K16" s="2" t="s">
        <v>68</v>
      </c>
      <c r="L16" s="2" t="s">
        <v>69</v>
      </c>
      <c r="M16" s="2">
        <v>2013</v>
      </c>
      <c r="N16" s="2">
        <v>0</v>
      </c>
      <c r="O16" s="2" t="s">
        <v>63</v>
      </c>
      <c r="P16" s="2" t="s">
        <v>64</v>
      </c>
      <c r="Q16" s="2" t="s">
        <v>65</v>
      </c>
      <c r="R16" s="2" t="s">
        <v>31</v>
      </c>
      <c r="S16" s="2" t="s">
        <v>32</v>
      </c>
      <c r="T16" s="2"/>
      <c r="U16" s="2"/>
    </row>
    <row r="17" spans="1:21" ht="16.5" customHeight="1">
      <c r="A17" s="2">
        <v>2110813</v>
      </c>
      <c r="B17" s="2" t="s">
        <v>22</v>
      </c>
      <c r="C17" s="2" t="s">
        <v>74</v>
      </c>
      <c r="D17" s="2">
        <v>20130221</v>
      </c>
      <c r="E17" s="2">
        <v>0</v>
      </c>
      <c r="F17" s="2">
        <v>0</v>
      </c>
      <c r="G17" s="2" t="s">
        <v>75</v>
      </c>
      <c r="H17" s="2">
        <v>380584</v>
      </c>
      <c r="I17" s="2" t="str">
        <f t="shared" si="0"/>
        <v>181CN2</v>
      </c>
      <c r="J17" s="2" t="s">
        <v>60</v>
      </c>
      <c r="K17" s="2" t="s">
        <v>61</v>
      </c>
      <c r="L17" s="2" t="s">
        <v>62</v>
      </c>
      <c r="M17" s="2">
        <v>2013</v>
      </c>
      <c r="N17" s="2">
        <v>0</v>
      </c>
      <c r="O17" s="2" t="s">
        <v>63</v>
      </c>
      <c r="P17" s="2" t="s">
        <v>64</v>
      </c>
      <c r="Q17" s="2" t="s">
        <v>65</v>
      </c>
      <c r="R17" s="2" t="s">
        <v>31</v>
      </c>
      <c r="S17" s="2" t="s">
        <v>32</v>
      </c>
      <c r="T17" s="2"/>
      <c r="U17" s="2"/>
    </row>
    <row r="18" spans="1:21" ht="16.5" customHeight="1">
      <c r="A18" s="2">
        <v>2110813</v>
      </c>
      <c r="B18" s="2" t="s">
        <v>22</v>
      </c>
      <c r="C18" s="2" t="s">
        <v>76</v>
      </c>
      <c r="D18" s="2">
        <v>20130221</v>
      </c>
      <c r="E18" s="2">
        <v>0</v>
      </c>
      <c r="F18" s="2">
        <v>0</v>
      </c>
      <c r="G18" s="2" t="s">
        <v>77</v>
      </c>
      <c r="H18" s="2">
        <v>377107</v>
      </c>
      <c r="I18" s="2" t="str">
        <f t="shared" si="0"/>
        <v>181CN2</v>
      </c>
      <c r="J18" s="2" t="s">
        <v>60</v>
      </c>
      <c r="K18" s="2" t="s">
        <v>68</v>
      </c>
      <c r="L18" s="2" t="s">
        <v>69</v>
      </c>
      <c r="M18" s="2">
        <v>2013</v>
      </c>
      <c r="N18" s="2">
        <v>0</v>
      </c>
      <c r="O18" s="2" t="s">
        <v>63</v>
      </c>
      <c r="P18" s="2" t="s">
        <v>64</v>
      </c>
      <c r="Q18" s="2" t="s">
        <v>65</v>
      </c>
      <c r="R18" s="2" t="s">
        <v>31</v>
      </c>
      <c r="S18" s="2" t="s">
        <v>32</v>
      </c>
      <c r="T18" s="2"/>
      <c r="U18" s="2"/>
    </row>
    <row r="19" spans="1:21" ht="16.5" customHeight="1">
      <c r="A19" s="2">
        <v>2110813</v>
      </c>
      <c r="B19" s="2" t="s">
        <v>22</v>
      </c>
      <c r="C19" s="2" t="s">
        <v>78</v>
      </c>
      <c r="D19" s="2">
        <v>20130221</v>
      </c>
      <c r="E19" s="2">
        <v>0</v>
      </c>
      <c r="F19" s="2">
        <v>0</v>
      </c>
      <c r="G19" s="2" t="s">
        <v>79</v>
      </c>
      <c r="H19" s="2">
        <v>377106</v>
      </c>
      <c r="I19" s="2" t="str">
        <f t="shared" si="0"/>
        <v>181CN2</v>
      </c>
      <c r="J19" s="2" t="s">
        <v>60</v>
      </c>
      <c r="K19" s="2" t="s">
        <v>68</v>
      </c>
      <c r="L19" s="2" t="s">
        <v>69</v>
      </c>
      <c r="M19" s="2">
        <v>2013</v>
      </c>
      <c r="N19" s="2">
        <v>0</v>
      </c>
      <c r="O19" s="2" t="s">
        <v>63</v>
      </c>
      <c r="P19" s="2" t="s">
        <v>64</v>
      </c>
      <c r="Q19" s="2" t="s">
        <v>65</v>
      </c>
      <c r="R19" s="2" t="s">
        <v>31</v>
      </c>
      <c r="S19" s="2" t="s">
        <v>32</v>
      </c>
      <c r="T19" s="2"/>
      <c r="U19" s="2"/>
    </row>
    <row r="20" spans="1:21" ht="16.5" customHeight="1">
      <c r="A20" s="2">
        <v>2110813</v>
      </c>
      <c r="B20" s="2" t="s">
        <v>22</v>
      </c>
      <c r="C20" s="2" t="s">
        <v>80</v>
      </c>
      <c r="D20" s="2">
        <v>20130221</v>
      </c>
      <c r="E20" s="2">
        <v>0</v>
      </c>
      <c r="F20" s="2">
        <v>0</v>
      </c>
      <c r="G20" s="2" t="s">
        <v>81</v>
      </c>
      <c r="H20" s="2">
        <v>378308</v>
      </c>
      <c r="I20" s="2" t="str">
        <f t="shared" si="0"/>
        <v>181CN2</v>
      </c>
      <c r="J20" s="2" t="s">
        <v>60</v>
      </c>
      <c r="K20" s="2" t="s">
        <v>68</v>
      </c>
      <c r="L20" s="2" t="s">
        <v>69</v>
      </c>
      <c r="M20" s="2">
        <v>2013</v>
      </c>
      <c r="N20" s="2">
        <v>0</v>
      </c>
      <c r="O20" s="2" t="s">
        <v>63</v>
      </c>
      <c r="P20" s="2" t="s">
        <v>64</v>
      </c>
      <c r="Q20" s="2" t="s">
        <v>65</v>
      </c>
      <c r="R20" s="2" t="s">
        <v>31</v>
      </c>
      <c r="S20" s="2" t="s">
        <v>32</v>
      </c>
      <c r="T20" s="2"/>
      <c r="U20" s="2"/>
    </row>
    <row r="21" spans="1:21" ht="16.5" customHeight="1">
      <c r="A21" s="2">
        <v>2110813</v>
      </c>
      <c r="B21" s="2" t="s">
        <v>22</v>
      </c>
      <c r="C21" s="2" t="s">
        <v>82</v>
      </c>
      <c r="D21" s="2">
        <v>20130221</v>
      </c>
      <c r="E21" s="2">
        <v>0</v>
      </c>
      <c r="F21" s="2">
        <v>0</v>
      </c>
      <c r="G21" s="2" t="s">
        <v>83</v>
      </c>
      <c r="H21" s="2">
        <v>386909</v>
      </c>
      <c r="I21" s="2" t="str">
        <f t="shared" si="0"/>
        <v>181CN2</v>
      </c>
      <c r="J21" s="2" t="s">
        <v>60</v>
      </c>
      <c r="K21" s="2" t="s">
        <v>68</v>
      </c>
      <c r="L21" s="2" t="s">
        <v>69</v>
      </c>
      <c r="M21" s="2">
        <v>2013</v>
      </c>
      <c r="N21" s="2">
        <v>0</v>
      </c>
      <c r="O21" s="2" t="s">
        <v>63</v>
      </c>
      <c r="P21" s="2" t="s">
        <v>64</v>
      </c>
      <c r="Q21" s="2" t="s">
        <v>65</v>
      </c>
      <c r="R21" s="2" t="s">
        <v>31</v>
      </c>
      <c r="S21" s="2" t="s">
        <v>32</v>
      </c>
      <c r="T21" s="2"/>
      <c r="U21" s="2"/>
    </row>
    <row r="22" spans="1:21" ht="16.5" customHeight="1">
      <c r="A22" s="2">
        <v>2110813</v>
      </c>
      <c r="B22" s="2" t="s">
        <v>22</v>
      </c>
      <c r="C22" s="2" t="s">
        <v>84</v>
      </c>
      <c r="D22" s="2">
        <v>20130221</v>
      </c>
      <c r="E22" s="2">
        <v>0</v>
      </c>
      <c r="F22" s="2">
        <v>0</v>
      </c>
      <c r="G22" s="2" t="s">
        <v>85</v>
      </c>
      <c r="H22" s="2">
        <v>378298</v>
      </c>
      <c r="I22" s="2" t="str">
        <f t="shared" si="0"/>
        <v>181CN2</v>
      </c>
      <c r="J22" s="2" t="s">
        <v>60</v>
      </c>
      <c r="K22" s="2" t="s">
        <v>68</v>
      </c>
      <c r="L22" s="2" t="s">
        <v>69</v>
      </c>
      <c r="M22" s="2">
        <v>2013</v>
      </c>
      <c r="N22" s="2">
        <v>0</v>
      </c>
      <c r="O22" s="2" t="s">
        <v>63</v>
      </c>
      <c r="P22" s="2" t="s">
        <v>64</v>
      </c>
      <c r="Q22" s="2" t="s">
        <v>65</v>
      </c>
      <c r="R22" s="2" t="s">
        <v>31</v>
      </c>
      <c r="S22" s="2" t="s">
        <v>32</v>
      </c>
      <c r="T22" s="2"/>
      <c r="U22" s="2"/>
    </row>
    <row r="23" spans="1:21" ht="16.5" customHeight="1">
      <c r="A23" s="2">
        <v>2110813</v>
      </c>
      <c r="B23" s="2" t="s">
        <v>22</v>
      </c>
      <c r="C23" s="2" t="s">
        <v>86</v>
      </c>
      <c r="D23" s="2">
        <v>20130221</v>
      </c>
      <c r="E23" s="2">
        <v>0</v>
      </c>
      <c r="F23" s="2">
        <v>0</v>
      </c>
      <c r="G23" s="2" t="s">
        <v>87</v>
      </c>
      <c r="H23" s="2">
        <v>379601</v>
      </c>
      <c r="I23" s="2" t="str">
        <f t="shared" si="0"/>
        <v>181CN2</v>
      </c>
      <c r="J23" s="2" t="s">
        <v>60</v>
      </c>
      <c r="K23" s="2" t="s">
        <v>68</v>
      </c>
      <c r="L23" s="2" t="s">
        <v>69</v>
      </c>
      <c r="M23" s="2">
        <v>2013</v>
      </c>
      <c r="N23" s="2">
        <v>0</v>
      </c>
      <c r="O23" s="2" t="s">
        <v>63</v>
      </c>
      <c r="P23" s="2" t="s">
        <v>64</v>
      </c>
      <c r="Q23" s="2" t="s">
        <v>65</v>
      </c>
      <c r="R23" s="2" t="s">
        <v>31</v>
      </c>
      <c r="S23" s="2" t="s">
        <v>32</v>
      </c>
      <c r="T23" s="2"/>
      <c r="U23" s="2"/>
    </row>
    <row r="24" spans="1:21" ht="16.5" customHeight="1">
      <c r="A24" s="2">
        <v>2110813</v>
      </c>
      <c r="B24" s="2" t="s">
        <v>22</v>
      </c>
      <c r="C24" s="2" t="s">
        <v>88</v>
      </c>
      <c r="D24" s="2">
        <v>20130221</v>
      </c>
      <c r="E24" s="2">
        <v>0</v>
      </c>
      <c r="F24" s="2">
        <v>0</v>
      </c>
      <c r="G24" s="2" t="s">
        <v>89</v>
      </c>
      <c r="H24" s="2">
        <v>382860</v>
      </c>
      <c r="I24" s="2" t="str">
        <f t="shared" si="0"/>
        <v>181CN2</v>
      </c>
      <c r="J24" s="2" t="s">
        <v>60</v>
      </c>
      <c r="K24" s="2" t="s">
        <v>61</v>
      </c>
      <c r="L24" s="2" t="s">
        <v>62</v>
      </c>
      <c r="M24" s="2">
        <v>2013</v>
      </c>
      <c r="N24" s="2">
        <v>0</v>
      </c>
      <c r="O24" s="2" t="s">
        <v>63</v>
      </c>
      <c r="P24" s="2" t="s">
        <v>64</v>
      </c>
      <c r="Q24" s="2" t="s">
        <v>65</v>
      </c>
      <c r="R24" s="2" t="s">
        <v>31</v>
      </c>
      <c r="S24" s="2" t="s">
        <v>32</v>
      </c>
      <c r="T24" s="2"/>
      <c r="U24" s="2"/>
    </row>
    <row r="25" spans="1:21" ht="16.5" customHeight="1">
      <c r="A25" s="2">
        <v>2110813</v>
      </c>
      <c r="B25" s="2" t="s">
        <v>22</v>
      </c>
      <c r="C25" s="2" t="s">
        <v>90</v>
      </c>
      <c r="D25" s="2">
        <v>20130221</v>
      </c>
      <c r="E25" s="2">
        <v>0</v>
      </c>
      <c r="F25" s="2">
        <v>0</v>
      </c>
      <c r="G25" s="2" t="s">
        <v>91</v>
      </c>
      <c r="H25" s="2" t="s">
        <v>92</v>
      </c>
      <c r="I25" s="2" t="str">
        <f>"A423L7"</f>
        <v>A423L7</v>
      </c>
      <c r="J25" s="2" t="s">
        <v>93</v>
      </c>
      <c r="K25" s="2" t="s">
        <v>94</v>
      </c>
      <c r="L25" s="2" t="s">
        <v>95</v>
      </c>
      <c r="M25" s="2">
        <v>2013</v>
      </c>
      <c r="N25" s="2">
        <v>0</v>
      </c>
      <c r="O25" s="2" t="s">
        <v>28</v>
      </c>
      <c r="P25" s="2" t="s">
        <v>29</v>
      </c>
      <c r="Q25" s="2" t="s">
        <v>96</v>
      </c>
      <c r="R25" s="2" t="s">
        <v>31</v>
      </c>
      <c r="S25" s="2" t="s">
        <v>32</v>
      </c>
      <c r="T25" s="2"/>
      <c r="U25" s="2"/>
    </row>
    <row r="26" spans="1:21" ht="16.5" customHeight="1">
      <c r="A26" s="2">
        <v>2110813</v>
      </c>
      <c r="B26" s="2" t="s">
        <v>22</v>
      </c>
      <c r="C26" s="2" t="s">
        <v>97</v>
      </c>
      <c r="D26" s="2">
        <v>20130221</v>
      </c>
      <c r="E26" s="2">
        <v>0</v>
      </c>
      <c r="F26" s="2">
        <v>0</v>
      </c>
      <c r="G26" s="2" t="s">
        <v>98</v>
      </c>
      <c r="H26" s="2" t="s">
        <v>99</v>
      </c>
      <c r="I26" s="2" t="str">
        <f>"A426L7"</f>
        <v>A426L7</v>
      </c>
      <c r="J26" s="2" t="s">
        <v>100</v>
      </c>
      <c r="K26" s="2" t="s">
        <v>94</v>
      </c>
      <c r="L26" s="2" t="s">
        <v>95</v>
      </c>
      <c r="M26" s="2">
        <v>2013</v>
      </c>
      <c r="N26" s="2">
        <v>0</v>
      </c>
      <c r="O26" s="2" t="s">
        <v>28</v>
      </c>
      <c r="P26" s="2" t="s">
        <v>29</v>
      </c>
      <c r="Q26" s="2" t="s">
        <v>96</v>
      </c>
      <c r="R26" s="2" t="s">
        <v>31</v>
      </c>
      <c r="S26" s="2" t="s">
        <v>32</v>
      </c>
      <c r="T26" s="2"/>
      <c r="U26" s="2"/>
    </row>
    <row r="27" spans="1:21" ht="16.5" customHeight="1">
      <c r="A27" s="2">
        <v>2110813</v>
      </c>
      <c r="B27" s="2" t="s">
        <v>22</v>
      </c>
      <c r="C27" s="2" t="s">
        <v>101</v>
      </c>
      <c r="D27" s="2">
        <v>20130221</v>
      </c>
      <c r="E27" s="2">
        <v>0</v>
      </c>
      <c r="F27" s="2">
        <v>0</v>
      </c>
      <c r="G27" s="2" t="s">
        <v>102</v>
      </c>
      <c r="H27" s="2" t="s">
        <v>103</v>
      </c>
      <c r="I27" s="2" t="str">
        <f>"A426L7"</f>
        <v>A426L7</v>
      </c>
      <c r="J27" s="2" t="s">
        <v>100</v>
      </c>
      <c r="K27" s="2" t="s">
        <v>94</v>
      </c>
      <c r="L27" s="2" t="s">
        <v>95</v>
      </c>
      <c r="M27" s="2">
        <v>2013</v>
      </c>
      <c r="N27" s="2">
        <v>0</v>
      </c>
      <c r="O27" s="2" t="s">
        <v>28</v>
      </c>
      <c r="P27" s="2" t="s">
        <v>29</v>
      </c>
      <c r="Q27" s="2" t="s">
        <v>96</v>
      </c>
      <c r="R27" s="2" t="s">
        <v>31</v>
      </c>
      <c r="S27" s="2" t="s">
        <v>32</v>
      </c>
      <c r="T27" s="2"/>
      <c r="U27" s="2"/>
    </row>
    <row r="28" spans="1:21" ht="16.5" customHeight="1">
      <c r="A28" s="2">
        <v>2110813</v>
      </c>
      <c r="B28" s="2" t="s">
        <v>22</v>
      </c>
      <c r="C28" s="2" t="s">
        <v>104</v>
      </c>
      <c r="D28" s="2">
        <v>20130221</v>
      </c>
      <c r="E28" s="2">
        <v>0</v>
      </c>
      <c r="F28" s="2">
        <v>0</v>
      </c>
      <c r="G28" s="2" t="s">
        <v>105</v>
      </c>
      <c r="H28" s="2" t="s">
        <v>106</v>
      </c>
      <c r="I28" s="2" t="str">
        <f>"A423L7"</f>
        <v>A423L7</v>
      </c>
      <c r="J28" s="2" t="s">
        <v>93</v>
      </c>
      <c r="K28" s="2" t="s">
        <v>107</v>
      </c>
      <c r="L28" s="2" t="s">
        <v>108</v>
      </c>
      <c r="M28" s="2">
        <v>2013</v>
      </c>
      <c r="N28" s="2">
        <v>0</v>
      </c>
      <c r="O28" s="2" t="s">
        <v>28</v>
      </c>
      <c r="P28" s="2" t="s">
        <v>29</v>
      </c>
      <c r="Q28" s="2" t="s">
        <v>109</v>
      </c>
      <c r="R28" s="2" t="s">
        <v>31</v>
      </c>
      <c r="S28" s="2" t="s">
        <v>32</v>
      </c>
      <c r="T28" s="2"/>
      <c r="U28" s="2"/>
    </row>
    <row r="29" spans="1:21" ht="16.5" customHeight="1">
      <c r="A29" s="2">
        <v>2110813</v>
      </c>
      <c r="B29" s="2" t="s">
        <v>22</v>
      </c>
      <c r="C29" s="2" t="s">
        <v>110</v>
      </c>
      <c r="D29" s="2">
        <v>20130221</v>
      </c>
      <c r="E29" s="2">
        <v>0</v>
      </c>
      <c r="F29" s="2">
        <v>0</v>
      </c>
      <c r="G29" s="2" t="s">
        <v>111</v>
      </c>
      <c r="H29" s="2">
        <v>857656</v>
      </c>
      <c r="I29" s="2" t="str">
        <f>"A424P1"</f>
        <v>A424P1</v>
      </c>
      <c r="J29" s="2" t="s">
        <v>112</v>
      </c>
      <c r="K29" s="2" t="s">
        <v>94</v>
      </c>
      <c r="L29" s="2" t="s">
        <v>95</v>
      </c>
      <c r="M29" s="2">
        <v>2013</v>
      </c>
      <c r="N29" s="2">
        <v>0</v>
      </c>
      <c r="O29" s="2" t="s">
        <v>28</v>
      </c>
      <c r="P29" s="2" t="s">
        <v>29</v>
      </c>
      <c r="Q29" s="2" t="s">
        <v>113</v>
      </c>
      <c r="R29" s="2" t="s">
        <v>31</v>
      </c>
      <c r="S29" s="2" t="s">
        <v>32</v>
      </c>
      <c r="T29" s="2"/>
      <c r="U29" s="2"/>
    </row>
    <row r="30" spans="1:21" ht="16.5" customHeight="1">
      <c r="A30" s="2">
        <v>2110813</v>
      </c>
      <c r="B30" s="2" t="s">
        <v>22</v>
      </c>
      <c r="C30" s="2" t="s">
        <v>114</v>
      </c>
      <c r="D30" s="2">
        <v>20130221</v>
      </c>
      <c r="E30" s="2">
        <v>0</v>
      </c>
      <c r="F30" s="2">
        <v>0</v>
      </c>
      <c r="G30" s="2" t="s">
        <v>115</v>
      </c>
      <c r="H30" s="2">
        <v>390179</v>
      </c>
      <c r="I30" s="2" t="str">
        <f>"6219A7"</f>
        <v>6219A7</v>
      </c>
      <c r="J30" s="2" t="s">
        <v>116</v>
      </c>
      <c r="K30" s="2" t="s">
        <v>117</v>
      </c>
      <c r="L30" s="2" t="s">
        <v>118</v>
      </c>
      <c r="M30" s="2">
        <v>2013</v>
      </c>
      <c r="N30" s="2">
        <v>1</v>
      </c>
      <c r="O30" s="2" t="s">
        <v>119</v>
      </c>
      <c r="P30" s="2" t="s">
        <v>120</v>
      </c>
      <c r="Q30" s="2"/>
      <c r="R30" s="2" t="s">
        <v>31</v>
      </c>
      <c r="S30" s="2" t="s">
        <v>32</v>
      </c>
      <c r="T30" s="2"/>
      <c r="U30" s="2"/>
    </row>
    <row r="31" spans="1:21" ht="16.5" customHeight="1">
      <c r="A31" s="2">
        <v>2110813</v>
      </c>
      <c r="B31" s="2" t="s">
        <v>22</v>
      </c>
      <c r="C31" s="2" t="s">
        <v>121</v>
      </c>
      <c r="D31" s="2">
        <v>20130221</v>
      </c>
      <c r="E31" s="2">
        <v>0</v>
      </c>
      <c r="F31" s="2">
        <v>0</v>
      </c>
      <c r="G31" s="2" t="s">
        <v>122</v>
      </c>
      <c r="H31" s="2">
        <v>410100</v>
      </c>
      <c r="I31" s="2" t="str">
        <f>"182DH2"</f>
        <v>182DH2</v>
      </c>
      <c r="J31" s="2" t="s">
        <v>123</v>
      </c>
      <c r="K31" s="2" t="s">
        <v>124</v>
      </c>
      <c r="L31" s="2" t="s">
        <v>125</v>
      </c>
      <c r="M31" s="2">
        <v>2013</v>
      </c>
      <c r="N31" s="2">
        <v>0</v>
      </c>
      <c r="O31" s="2" t="s">
        <v>126</v>
      </c>
      <c r="P31" s="2" t="s">
        <v>29</v>
      </c>
      <c r="Q31" s="2" t="s">
        <v>127</v>
      </c>
      <c r="R31" s="2" t="s">
        <v>31</v>
      </c>
      <c r="S31" s="2" t="s">
        <v>32</v>
      </c>
      <c r="T31" s="2"/>
      <c r="U31" s="2"/>
    </row>
    <row r="32" spans="1:21" ht="16.5" customHeight="1">
      <c r="A32" s="2">
        <v>2110813</v>
      </c>
      <c r="B32" s="2" t="s">
        <v>22</v>
      </c>
      <c r="C32" s="2" t="s">
        <v>128</v>
      </c>
      <c r="D32" s="2">
        <v>20130221</v>
      </c>
      <c r="E32" s="2">
        <v>0</v>
      </c>
      <c r="F32" s="2">
        <v>0</v>
      </c>
      <c r="G32" s="2" t="s">
        <v>129</v>
      </c>
      <c r="H32" s="2">
        <v>539938</v>
      </c>
      <c r="I32" s="2" t="str">
        <f>"182DM2"</f>
        <v>182DM2</v>
      </c>
      <c r="J32" s="2" t="s">
        <v>130</v>
      </c>
      <c r="K32" s="2" t="s">
        <v>124</v>
      </c>
      <c r="L32" s="2" t="s">
        <v>125</v>
      </c>
      <c r="M32" s="2">
        <v>2013</v>
      </c>
      <c r="N32" s="2">
        <v>0</v>
      </c>
      <c r="O32" s="2" t="s">
        <v>126</v>
      </c>
      <c r="P32" s="2" t="s">
        <v>29</v>
      </c>
      <c r="Q32" s="2" t="s">
        <v>127</v>
      </c>
      <c r="R32" s="2" t="s">
        <v>31</v>
      </c>
      <c r="S32" s="2" t="s">
        <v>32</v>
      </c>
      <c r="T32" s="2"/>
      <c r="U32" s="2"/>
    </row>
    <row r="33" spans="1:21" ht="16.5" customHeight="1">
      <c r="A33" s="2">
        <v>2110813</v>
      </c>
      <c r="B33" s="2" t="s">
        <v>22</v>
      </c>
      <c r="C33" s="2" t="s">
        <v>131</v>
      </c>
      <c r="D33" s="2">
        <v>20130221</v>
      </c>
      <c r="E33" s="2">
        <v>0</v>
      </c>
      <c r="F33" s="2">
        <v>0</v>
      </c>
      <c r="G33" s="2" t="s">
        <v>132</v>
      </c>
      <c r="H33" s="2">
        <v>539829</v>
      </c>
      <c r="I33" s="2" t="str">
        <f>"182CM2"</f>
        <v>182CM2</v>
      </c>
      <c r="J33" s="2" t="s">
        <v>133</v>
      </c>
      <c r="K33" s="2" t="s">
        <v>124</v>
      </c>
      <c r="L33" s="2" t="s">
        <v>125</v>
      </c>
      <c r="M33" s="2">
        <v>2013</v>
      </c>
      <c r="N33" s="2">
        <v>0</v>
      </c>
      <c r="O33" s="2" t="s">
        <v>126</v>
      </c>
      <c r="P33" s="2" t="s">
        <v>29</v>
      </c>
      <c r="Q33" s="2"/>
      <c r="R33" s="2" t="s">
        <v>31</v>
      </c>
      <c r="S33" s="2" t="s">
        <v>32</v>
      </c>
      <c r="T33" s="2"/>
      <c r="U33" s="2"/>
    </row>
    <row r="34" spans="1:21" ht="16.5" customHeight="1">
      <c r="A34" s="2">
        <v>2110813</v>
      </c>
      <c r="B34" s="2" t="s">
        <v>22</v>
      </c>
      <c r="C34" s="2" t="s">
        <v>134</v>
      </c>
      <c r="D34" s="2">
        <v>20130109</v>
      </c>
      <c r="E34" s="2">
        <v>0</v>
      </c>
      <c r="F34" s="2">
        <v>0</v>
      </c>
      <c r="G34" s="2" t="s">
        <v>135</v>
      </c>
      <c r="H34" s="2" t="s">
        <v>136</v>
      </c>
      <c r="I34" s="2" t="str">
        <f>"5914A3"</f>
        <v>5914A3</v>
      </c>
      <c r="J34" s="2" t="s">
        <v>137</v>
      </c>
      <c r="K34" s="2" t="s">
        <v>138</v>
      </c>
      <c r="L34" s="2" t="s">
        <v>139</v>
      </c>
      <c r="M34" s="2">
        <v>2013</v>
      </c>
      <c r="N34" s="2">
        <v>0</v>
      </c>
      <c r="O34" s="2" t="s">
        <v>140</v>
      </c>
      <c r="P34" s="2" t="s">
        <v>29</v>
      </c>
      <c r="Q34" s="2" t="s">
        <v>141</v>
      </c>
      <c r="R34" s="2" t="s">
        <v>31</v>
      </c>
      <c r="S34" s="2" t="s">
        <v>32</v>
      </c>
      <c r="T34" s="2"/>
      <c r="U34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workbookViewId="0">
      <selection activeCell="A18" sqref="A18:XFD74"/>
    </sheetView>
  </sheetViews>
  <sheetFormatPr defaultRowHeight="14.25"/>
  <cols>
    <col min="1" max="1" width="9.42578125" customWidth="1"/>
    <col min="2" max="2" width="18.42578125" customWidth="1"/>
    <col min="3" max="6" width="9.42578125" customWidth="1"/>
    <col min="7" max="7" width="19.42578125" customWidth="1"/>
    <col min="8" max="9" width="9.42578125" customWidth="1"/>
    <col min="10" max="10" width="20.42578125" customWidth="1"/>
    <col min="11" max="12" width="9.42578125" customWidth="1"/>
    <col min="13" max="13" width="11.5703125" customWidth="1"/>
    <col min="14" max="14" width="9.42578125" customWidth="1"/>
    <col min="15" max="15" width="7.42578125" customWidth="1"/>
    <col min="16" max="16" width="11.140625" customWidth="1"/>
    <col min="17" max="17" width="40" customWidth="1"/>
    <col min="18" max="18" width="11.5703125" customWidth="1"/>
    <col min="19" max="19" width="9.42578125" customWidth="1"/>
    <col min="20" max="20" width="7.42578125" customWidth="1"/>
    <col min="21" max="21" width="11.140625" customWidth="1"/>
    <col min="22" max="22" width="40" customWidth="1"/>
  </cols>
  <sheetData>
    <row r="1" spans="1:22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9.25" thickTop="1">
      <c r="A2" s="2">
        <v>2110813</v>
      </c>
      <c r="B2" s="2" t="s">
        <v>22</v>
      </c>
      <c r="C2" s="2" t="s">
        <v>143</v>
      </c>
      <c r="D2" s="2">
        <v>20130221</v>
      </c>
      <c r="E2" s="2">
        <v>0</v>
      </c>
      <c r="F2" s="2">
        <v>0</v>
      </c>
      <c r="G2" s="2" t="s">
        <v>144</v>
      </c>
      <c r="H2" s="2">
        <v>383820</v>
      </c>
      <c r="I2" s="2" t="str">
        <f t="shared" ref="I2:I14" si="0">"181CN2"</f>
        <v>181CN2</v>
      </c>
      <c r="J2" s="2" t="s">
        <v>60</v>
      </c>
      <c r="K2" s="2" t="s">
        <v>61</v>
      </c>
      <c r="L2" s="2" t="s">
        <v>62</v>
      </c>
      <c r="M2" s="2">
        <v>2013</v>
      </c>
      <c r="N2" s="2">
        <v>0</v>
      </c>
      <c r="O2" s="2" t="s">
        <v>63</v>
      </c>
      <c r="P2" s="2" t="s">
        <v>64</v>
      </c>
      <c r="Q2" s="2" t="s">
        <v>65</v>
      </c>
      <c r="R2" s="2" t="s">
        <v>142</v>
      </c>
      <c r="S2" s="2" t="s">
        <v>32</v>
      </c>
      <c r="T2" s="2"/>
      <c r="U2" s="2"/>
    </row>
    <row r="3" spans="1:22" ht="28.5">
      <c r="A3" s="2">
        <v>2110813</v>
      </c>
      <c r="B3" s="2" t="s">
        <v>22</v>
      </c>
      <c r="C3" s="2" t="s">
        <v>145</v>
      </c>
      <c r="D3" s="2">
        <v>20130221</v>
      </c>
      <c r="E3" s="2">
        <v>0</v>
      </c>
      <c r="F3" s="2">
        <v>0</v>
      </c>
      <c r="G3" s="2" t="s">
        <v>146</v>
      </c>
      <c r="H3" s="2">
        <v>380036</v>
      </c>
      <c r="I3" s="2" t="str">
        <f t="shared" si="0"/>
        <v>181CN2</v>
      </c>
      <c r="J3" s="2" t="s">
        <v>60</v>
      </c>
      <c r="K3" s="2" t="s">
        <v>61</v>
      </c>
      <c r="L3" s="2" t="s">
        <v>62</v>
      </c>
      <c r="M3" s="2">
        <v>2013</v>
      </c>
      <c r="N3" s="2">
        <v>0</v>
      </c>
      <c r="O3" s="2" t="s">
        <v>63</v>
      </c>
      <c r="P3" s="2" t="s">
        <v>64</v>
      </c>
      <c r="Q3" s="2" t="s">
        <v>65</v>
      </c>
      <c r="R3" s="2" t="s">
        <v>142</v>
      </c>
      <c r="S3" s="2" t="s">
        <v>32</v>
      </c>
      <c r="T3" s="2"/>
      <c r="U3" s="2"/>
    </row>
    <row r="4" spans="1:22" ht="28.5">
      <c r="A4" s="2">
        <v>2110813</v>
      </c>
      <c r="B4" s="2" t="s">
        <v>22</v>
      </c>
      <c r="C4" s="2" t="s">
        <v>147</v>
      </c>
      <c r="D4" s="2">
        <v>20130221</v>
      </c>
      <c r="E4" s="2">
        <v>0</v>
      </c>
      <c r="F4" s="2">
        <v>0</v>
      </c>
      <c r="G4" s="2" t="s">
        <v>148</v>
      </c>
      <c r="H4" s="2">
        <v>380065</v>
      </c>
      <c r="I4" s="2" t="str">
        <f t="shared" si="0"/>
        <v>181CN2</v>
      </c>
      <c r="J4" s="2" t="s">
        <v>60</v>
      </c>
      <c r="K4" s="2" t="s">
        <v>61</v>
      </c>
      <c r="L4" s="2" t="s">
        <v>62</v>
      </c>
      <c r="M4" s="2">
        <v>2013</v>
      </c>
      <c r="N4" s="2">
        <v>0</v>
      </c>
      <c r="O4" s="2" t="s">
        <v>63</v>
      </c>
      <c r="P4" s="2" t="s">
        <v>64</v>
      </c>
      <c r="Q4" s="2" t="s">
        <v>65</v>
      </c>
      <c r="R4" s="2" t="s">
        <v>142</v>
      </c>
      <c r="S4" s="2" t="s">
        <v>32</v>
      </c>
      <c r="T4" s="2"/>
      <c r="U4" s="2"/>
    </row>
    <row r="5" spans="1:22" ht="28.5">
      <c r="A5" s="2">
        <v>2110813</v>
      </c>
      <c r="B5" s="2" t="s">
        <v>22</v>
      </c>
      <c r="C5" s="2" t="s">
        <v>149</v>
      </c>
      <c r="D5" s="2">
        <v>20130221</v>
      </c>
      <c r="E5" s="2">
        <v>0</v>
      </c>
      <c r="F5" s="2">
        <v>0</v>
      </c>
      <c r="G5" s="2" t="s">
        <v>150</v>
      </c>
      <c r="H5" s="2">
        <v>380089</v>
      </c>
      <c r="I5" s="2" t="str">
        <f t="shared" si="0"/>
        <v>181CN2</v>
      </c>
      <c r="J5" s="2" t="s">
        <v>60</v>
      </c>
      <c r="K5" s="2" t="s">
        <v>61</v>
      </c>
      <c r="L5" s="2" t="s">
        <v>62</v>
      </c>
      <c r="M5" s="2">
        <v>2013</v>
      </c>
      <c r="N5" s="2">
        <v>0</v>
      </c>
      <c r="O5" s="2" t="s">
        <v>63</v>
      </c>
      <c r="P5" s="2" t="s">
        <v>64</v>
      </c>
      <c r="Q5" s="2" t="s">
        <v>65</v>
      </c>
      <c r="R5" s="2" t="s">
        <v>142</v>
      </c>
      <c r="S5" s="2" t="s">
        <v>32</v>
      </c>
      <c r="T5" s="2"/>
      <c r="U5" s="2"/>
    </row>
    <row r="6" spans="1:22" ht="28.5">
      <c r="A6" s="2">
        <v>2110813</v>
      </c>
      <c r="B6" s="2" t="s">
        <v>22</v>
      </c>
      <c r="C6" s="2" t="s">
        <v>151</v>
      </c>
      <c r="D6" s="2">
        <v>20130221</v>
      </c>
      <c r="E6" s="2">
        <v>0</v>
      </c>
      <c r="F6" s="2">
        <v>0</v>
      </c>
      <c r="G6" s="2" t="s">
        <v>152</v>
      </c>
      <c r="H6" s="2">
        <v>373081</v>
      </c>
      <c r="I6" s="2" t="str">
        <f t="shared" si="0"/>
        <v>181CN2</v>
      </c>
      <c r="J6" s="2" t="s">
        <v>60</v>
      </c>
      <c r="K6" s="2" t="s">
        <v>61</v>
      </c>
      <c r="L6" s="2" t="s">
        <v>62</v>
      </c>
      <c r="M6" s="2">
        <v>2013</v>
      </c>
      <c r="N6" s="2">
        <v>0</v>
      </c>
      <c r="O6" s="2" t="s">
        <v>63</v>
      </c>
      <c r="P6" s="2" t="s">
        <v>64</v>
      </c>
      <c r="Q6" s="2"/>
      <c r="R6" s="2" t="s">
        <v>142</v>
      </c>
      <c r="S6" s="2" t="s">
        <v>32</v>
      </c>
      <c r="T6" s="2"/>
      <c r="U6" s="2"/>
    </row>
    <row r="7" spans="1:22" ht="28.5">
      <c r="A7" s="2">
        <v>2110813</v>
      </c>
      <c r="B7" s="2" t="s">
        <v>22</v>
      </c>
      <c r="C7" s="2" t="s">
        <v>153</v>
      </c>
      <c r="D7" s="2">
        <v>20130221</v>
      </c>
      <c r="E7" s="2">
        <v>0</v>
      </c>
      <c r="F7" s="2">
        <v>0</v>
      </c>
      <c r="G7" s="2" t="s">
        <v>154</v>
      </c>
      <c r="H7" s="2">
        <v>371087</v>
      </c>
      <c r="I7" s="2" t="str">
        <f t="shared" si="0"/>
        <v>181CN2</v>
      </c>
      <c r="J7" s="2" t="s">
        <v>60</v>
      </c>
      <c r="K7" s="2" t="s">
        <v>68</v>
      </c>
      <c r="L7" s="2" t="s">
        <v>69</v>
      </c>
      <c r="M7" s="2">
        <v>2013</v>
      </c>
      <c r="N7" s="2">
        <v>0</v>
      </c>
      <c r="O7" s="2" t="s">
        <v>63</v>
      </c>
      <c r="P7" s="2" t="s">
        <v>64</v>
      </c>
      <c r="Q7" s="2"/>
      <c r="R7" s="2" t="s">
        <v>142</v>
      </c>
      <c r="S7" s="2" t="s">
        <v>32</v>
      </c>
      <c r="T7" s="2"/>
      <c r="U7" s="2"/>
    </row>
    <row r="8" spans="1:22" ht="28.5">
      <c r="A8" s="2">
        <v>2110813</v>
      </c>
      <c r="B8" s="2" t="s">
        <v>22</v>
      </c>
      <c r="C8" s="2" t="s">
        <v>155</v>
      </c>
      <c r="D8" s="2">
        <v>20130221</v>
      </c>
      <c r="E8" s="2">
        <v>0</v>
      </c>
      <c r="F8" s="2">
        <v>0</v>
      </c>
      <c r="G8" s="2" t="s">
        <v>156</v>
      </c>
      <c r="H8" s="2">
        <v>380038</v>
      </c>
      <c r="I8" s="2" t="str">
        <f t="shared" si="0"/>
        <v>181CN2</v>
      </c>
      <c r="J8" s="2" t="s">
        <v>60</v>
      </c>
      <c r="K8" s="2" t="s">
        <v>61</v>
      </c>
      <c r="L8" s="2" t="s">
        <v>62</v>
      </c>
      <c r="M8" s="2">
        <v>2013</v>
      </c>
      <c r="N8" s="2">
        <v>0</v>
      </c>
      <c r="O8" s="2" t="s">
        <v>63</v>
      </c>
      <c r="P8" s="2" t="s">
        <v>64</v>
      </c>
      <c r="Q8" s="2" t="s">
        <v>65</v>
      </c>
      <c r="R8" s="2" t="s">
        <v>142</v>
      </c>
      <c r="S8" s="2" t="s">
        <v>32</v>
      </c>
      <c r="T8" s="2"/>
      <c r="U8" s="2"/>
    </row>
    <row r="9" spans="1:22" ht="28.5">
      <c r="A9" s="2">
        <v>2110813</v>
      </c>
      <c r="B9" s="2" t="s">
        <v>22</v>
      </c>
      <c r="C9" s="2" t="s">
        <v>157</v>
      </c>
      <c r="D9" s="2">
        <v>20130221</v>
      </c>
      <c r="E9" s="2">
        <v>0</v>
      </c>
      <c r="F9" s="2">
        <v>0</v>
      </c>
      <c r="G9" s="2" t="s">
        <v>158</v>
      </c>
      <c r="H9" s="2">
        <v>380913</v>
      </c>
      <c r="I9" s="2" t="str">
        <f t="shared" si="0"/>
        <v>181CN2</v>
      </c>
      <c r="J9" s="2" t="s">
        <v>60</v>
      </c>
      <c r="K9" s="2" t="s">
        <v>68</v>
      </c>
      <c r="L9" s="2" t="s">
        <v>69</v>
      </c>
      <c r="M9" s="2">
        <v>2013</v>
      </c>
      <c r="N9" s="2">
        <v>0</v>
      </c>
      <c r="O9" s="2" t="s">
        <v>63</v>
      </c>
      <c r="P9" s="2" t="s">
        <v>64</v>
      </c>
      <c r="Q9" s="2" t="s">
        <v>65</v>
      </c>
      <c r="R9" s="2" t="s">
        <v>142</v>
      </c>
      <c r="S9" s="2" t="s">
        <v>32</v>
      </c>
      <c r="T9" s="2"/>
      <c r="U9" s="2"/>
    </row>
    <row r="10" spans="1:22" ht="28.5">
      <c r="A10" s="2">
        <v>2110813</v>
      </c>
      <c r="B10" s="2" t="s">
        <v>22</v>
      </c>
      <c r="C10" s="2" t="s">
        <v>159</v>
      </c>
      <c r="D10" s="2">
        <v>20130221</v>
      </c>
      <c r="E10" s="2">
        <v>0</v>
      </c>
      <c r="F10" s="2">
        <v>0</v>
      </c>
      <c r="G10" s="2" t="s">
        <v>160</v>
      </c>
      <c r="H10" s="2">
        <v>382989</v>
      </c>
      <c r="I10" s="2" t="str">
        <f t="shared" si="0"/>
        <v>181CN2</v>
      </c>
      <c r="J10" s="2" t="s">
        <v>60</v>
      </c>
      <c r="K10" s="2" t="s">
        <v>61</v>
      </c>
      <c r="L10" s="2" t="s">
        <v>62</v>
      </c>
      <c r="M10" s="2">
        <v>2013</v>
      </c>
      <c r="N10" s="2">
        <v>0</v>
      </c>
      <c r="O10" s="2" t="s">
        <v>63</v>
      </c>
      <c r="P10" s="2" t="s">
        <v>64</v>
      </c>
      <c r="Q10" s="2" t="s">
        <v>65</v>
      </c>
      <c r="R10" s="2" t="s">
        <v>142</v>
      </c>
      <c r="S10" s="2" t="s">
        <v>32</v>
      </c>
      <c r="T10" s="2"/>
      <c r="U10" s="2"/>
    </row>
    <row r="11" spans="1:22" ht="28.5">
      <c r="A11" s="2">
        <v>2110813</v>
      </c>
      <c r="B11" s="2" t="s">
        <v>22</v>
      </c>
      <c r="C11" s="2" t="s">
        <v>161</v>
      </c>
      <c r="D11" s="2">
        <v>20130221</v>
      </c>
      <c r="E11" s="2">
        <v>0</v>
      </c>
      <c r="F11" s="2">
        <v>0</v>
      </c>
      <c r="G11" s="2" t="s">
        <v>162</v>
      </c>
      <c r="H11" s="2">
        <v>369895</v>
      </c>
      <c r="I11" s="2" t="str">
        <f t="shared" si="0"/>
        <v>181CN2</v>
      </c>
      <c r="J11" s="2" t="s">
        <v>60</v>
      </c>
      <c r="K11" s="2" t="s">
        <v>61</v>
      </c>
      <c r="L11" s="2" t="s">
        <v>62</v>
      </c>
      <c r="M11" s="2">
        <v>2013</v>
      </c>
      <c r="N11" s="2">
        <v>0</v>
      </c>
      <c r="O11" s="2" t="s">
        <v>63</v>
      </c>
      <c r="P11" s="2" t="s">
        <v>64</v>
      </c>
      <c r="Q11" s="2"/>
      <c r="R11" s="2" t="s">
        <v>142</v>
      </c>
      <c r="S11" s="2" t="s">
        <v>32</v>
      </c>
      <c r="T11" s="2"/>
      <c r="U11" s="2"/>
    </row>
    <row r="12" spans="1:22" ht="28.5">
      <c r="A12" s="2">
        <v>2110813</v>
      </c>
      <c r="B12" s="2" t="s">
        <v>22</v>
      </c>
      <c r="C12" s="2" t="s">
        <v>163</v>
      </c>
      <c r="D12" s="2">
        <v>20130221</v>
      </c>
      <c r="E12" s="2">
        <v>0</v>
      </c>
      <c r="F12" s="2">
        <v>0</v>
      </c>
      <c r="G12" s="2" t="s">
        <v>164</v>
      </c>
      <c r="H12" s="2">
        <v>377346</v>
      </c>
      <c r="I12" s="2" t="str">
        <f t="shared" si="0"/>
        <v>181CN2</v>
      </c>
      <c r="J12" s="2" t="s">
        <v>60</v>
      </c>
      <c r="K12" s="2" t="s">
        <v>68</v>
      </c>
      <c r="L12" s="2" t="s">
        <v>69</v>
      </c>
      <c r="M12" s="2">
        <v>2013</v>
      </c>
      <c r="N12" s="2">
        <v>0</v>
      </c>
      <c r="O12" s="2" t="s">
        <v>63</v>
      </c>
      <c r="P12" s="2" t="s">
        <v>64</v>
      </c>
      <c r="Q12" s="2" t="s">
        <v>65</v>
      </c>
      <c r="R12" s="2" t="s">
        <v>142</v>
      </c>
      <c r="S12" s="2" t="s">
        <v>32</v>
      </c>
      <c r="T12" s="2"/>
      <c r="U12" s="2"/>
    </row>
    <row r="13" spans="1:22" ht="28.5">
      <c r="A13" s="2">
        <v>2110813</v>
      </c>
      <c r="B13" s="2" t="s">
        <v>22</v>
      </c>
      <c r="C13" s="2" t="s">
        <v>165</v>
      </c>
      <c r="D13" s="2">
        <v>20130221</v>
      </c>
      <c r="E13" s="2">
        <v>0</v>
      </c>
      <c r="F13" s="2">
        <v>0</v>
      </c>
      <c r="G13" s="2" t="s">
        <v>166</v>
      </c>
      <c r="H13" s="2">
        <v>380554</v>
      </c>
      <c r="I13" s="2" t="str">
        <f t="shared" si="0"/>
        <v>181CN2</v>
      </c>
      <c r="J13" s="2" t="s">
        <v>60</v>
      </c>
      <c r="K13" s="2" t="s">
        <v>61</v>
      </c>
      <c r="L13" s="2" t="s">
        <v>62</v>
      </c>
      <c r="M13" s="2">
        <v>2013</v>
      </c>
      <c r="N13" s="2">
        <v>0</v>
      </c>
      <c r="O13" s="2" t="s">
        <v>63</v>
      </c>
      <c r="P13" s="2" t="s">
        <v>64</v>
      </c>
      <c r="Q13" s="2" t="s">
        <v>65</v>
      </c>
      <c r="R13" s="2" t="s">
        <v>142</v>
      </c>
      <c r="S13" s="2" t="s">
        <v>32</v>
      </c>
      <c r="T13" s="2"/>
      <c r="U13" s="2"/>
    </row>
    <row r="14" spans="1:22" ht="28.5">
      <c r="A14" s="2">
        <v>2110813</v>
      </c>
      <c r="B14" s="2" t="s">
        <v>22</v>
      </c>
      <c r="C14" s="2" t="s">
        <v>167</v>
      </c>
      <c r="D14" s="2">
        <v>20130221</v>
      </c>
      <c r="E14" s="2">
        <v>0</v>
      </c>
      <c r="F14" s="2">
        <v>0</v>
      </c>
      <c r="G14" s="2" t="s">
        <v>168</v>
      </c>
      <c r="H14" s="2">
        <v>380086</v>
      </c>
      <c r="I14" s="2" t="str">
        <f t="shared" si="0"/>
        <v>181CN2</v>
      </c>
      <c r="J14" s="2" t="s">
        <v>60</v>
      </c>
      <c r="K14" s="2" t="s">
        <v>61</v>
      </c>
      <c r="L14" s="2" t="s">
        <v>62</v>
      </c>
      <c r="M14" s="2">
        <v>2013</v>
      </c>
      <c r="N14" s="2">
        <v>0</v>
      </c>
      <c r="O14" s="2" t="s">
        <v>63</v>
      </c>
      <c r="P14" s="2" t="s">
        <v>64</v>
      </c>
      <c r="Q14" s="2" t="s">
        <v>65</v>
      </c>
      <c r="R14" s="2" t="s">
        <v>142</v>
      </c>
      <c r="S14" s="2" t="s">
        <v>32</v>
      </c>
      <c r="T14" s="2"/>
      <c r="U14" s="2"/>
    </row>
    <row r="15" spans="1:22" ht="42.75">
      <c r="A15" s="2">
        <v>2110813</v>
      </c>
      <c r="B15" s="2" t="s">
        <v>22</v>
      </c>
      <c r="C15" s="2" t="s">
        <v>169</v>
      </c>
      <c r="D15" s="2">
        <v>20120820</v>
      </c>
      <c r="E15" s="2">
        <v>20121008</v>
      </c>
      <c r="F15" s="2">
        <v>0</v>
      </c>
      <c r="G15" s="2" t="s">
        <v>170</v>
      </c>
      <c r="H15" s="2">
        <v>694662</v>
      </c>
      <c r="I15" s="2" t="str">
        <f>"333TD2"</f>
        <v>333TD2</v>
      </c>
      <c r="J15" s="2" t="s">
        <v>171</v>
      </c>
      <c r="K15" s="2">
        <v>9</v>
      </c>
      <c r="L15" s="2" t="s">
        <v>172</v>
      </c>
      <c r="M15" s="2">
        <v>2012</v>
      </c>
      <c r="N15" s="2">
        <v>0</v>
      </c>
      <c r="O15" s="2" t="s">
        <v>173</v>
      </c>
      <c r="P15" s="2" t="s">
        <v>174</v>
      </c>
      <c r="Q15" s="2" t="s">
        <v>175</v>
      </c>
      <c r="R15" s="2" t="s">
        <v>142</v>
      </c>
      <c r="S15" s="2" t="s">
        <v>32</v>
      </c>
      <c r="T15" s="2">
        <v>20</v>
      </c>
      <c r="U15" s="2" t="s">
        <v>176</v>
      </c>
    </row>
    <row r="16" spans="1:22" ht="28.5">
      <c r="A16" s="2">
        <v>2110813</v>
      </c>
      <c r="B16" s="2" t="s">
        <v>22</v>
      </c>
      <c r="C16" s="2" t="s">
        <v>177</v>
      </c>
      <c r="D16" s="2">
        <v>20130221</v>
      </c>
      <c r="E16" s="2">
        <v>0</v>
      </c>
      <c r="F16" s="2">
        <v>0</v>
      </c>
      <c r="G16" s="2" t="s">
        <v>178</v>
      </c>
      <c r="H16" s="2" t="s">
        <v>179</v>
      </c>
      <c r="I16" s="2" t="str">
        <f>"A426L7"</f>
        <v>A426L7</v>
      </c>
      <c r="J16" s="2" t="s">
        <v>100</v>
      </c>
      <c r="K16" s="2" t="s">
        <v>94</v>
      </c>
      <c r="L16" s="2" t="s">
        <v>95</v>
      </c>
      <c r="M16" s="2">
        <v>2013</v>
      </c>
      <c r="N16" s="2">
        <v>0</v>
      </c>
      <c r="O16" s="2" t="s">
        <v>28</v>
      </c>
      <c r="P16" s="2" t="s">
        <v>29</v>
      </c>
      <c r="Q16" s="2" t="s">
        <v>96</v>
      </c>
      <c r="R16" s="2" t="s">
        <v>142</v>
      </c>
      <c r="S16" s="2" t="s">
        <v>32</v>
      </c>
      <c r="T16" s="2"/>
      <c r="U16" s="2"/>
    </row>
    <row r="17" spans="1:21" ht="28.5">
      <c r="A17" s="2">
        <v>2110813</v>
      </c>
      <c r="B17" s="2" t="s">
        <v>22</v>
      </c>
      <c r="C17" s="2" t="s">
        <v>180</v>
      </c>
      <c r="D17" s="2">
        <v>20130221</v>
      </c>
      <c r="E17" s="2">
        <v>0</v>
      </c>
      <c r="F17" s="2">
        <v>0</v>
      </c>
      <c r="G17" s="2" t="s">
        <v>181</v>
      </c>
      <c r="H17" s="2" t="s">
        <v>182</v>
      </c>
      <c r="I17" s="2" t="str">
        <f>"A423L7"</f>
        <v>A423L7</v>
      </c>
      <c r="J17" s="2" t="s">
        <v>93</v>
      </c>
      <c r="K17" s="2" t="s">
        <v>107</v>
      </c>
      <c r="L17" s="2" t="s">
        <v>108</v>
      </c>
      <c r="M17" s="2">
        <v>2013</v>
      </c>
      <c r="N17" s="2">
        <v>0</v>
      </c>
      <c r="O17" s="2" t="s">
        <v>28</v>
      </c>
      <c r="P17" s="2" t="s">
        <v>29</v>
      </c>
      <c r="Q17" s="2" t="s">
        <v>109</v>
      </c>
      <c r="R17" s="2" t="s">
        <v>142</v>
      </c>
      <c r="S17" s="2" t="s">
        <v>32</v>
      </c>
      <c r="T17" s="2"/>
      <c r="U17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在途</vt:lpstr>
      <vt:lpstr>未提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2013-04-02T01:25:31Z</dcterms:modified>
</cp:coreProperties>
</file>